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346B0409-12AB-4096-91B9-18A3D8C67DCF}" xr6:coauthVersionLast="47" xr6:coauthVersionMax="47" xr10:uidLastSave="{00000000-0000-0000-0000-000000000000}"/>
  <bookViews>
    <workbookView xWindow="650" yWindow="11940" windowWidth="37330" windowHeight="8700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9" i="1"/>
  <c r="A18" i="1"/>
  <c r="A17" i="1"/>
  <c r="A16" i="1"/>
  <c r="A15" i="1"/>
  <c r="A14" i="1"/>
  <c r="A13" i="1"/>
  <c r="A10" i="1"/>
  <c r="A9" i="1"/>
  <c r="A8" i="1"/>
  <c r="A7" i="1"/>
  <c r="A5" i="1"/>
  <c r="A4" i="1"/>
  <c r="A12" i="1"/>
  <c r="A11" i="1"/>
  <c r="A6" i="1"/>
  <c r="A3" i="1"/>
  <c r="A2" i="1"/>
</calcChain>
</file>

<file path=xl/sharedStrings.xml><?xml version="1.0" encoding="utf-8"?>
<sst xmlns="http://schemas.openxmlformats.org/spreadsheetml/2006/main" count="128" uniqueCount="90">
  <si>
    <t>date</t>
  </si>
  <si>
    <t>seminar_title</t>
  </si>
  <si>
    <t>webpage</t>
  </si>
  <si>
    <t>City</t>
  </si>
  <si>
    <t>Country</t>
  </si>
  <si>
    <t>Format</t>
  </si>
  <si>
    <t>Type</t>
  </si>
  <si>
    <t>recording</t>
  </si>
  <si>
    <t>recording2</t>
  </si>
  <si>
    <t>summary</t>
  </si>
  <si>
    <t>talknr</t>
  </si>
  <si>
    <t>speaker</t>
  </si>
  <si>
    <t>company</t>
  </si>
  <si>
    <t>title</t>
  </si>
  <si>
    <t>slides</t>
  </si>
  <si>
    <t>link</t>
  </si>
  <si>
    <t>Invited talk</t>
  </si>
  <si>
    <t>Switzerland</t>
  </si>
  <si>
    <t>F2F</t>
  </si>
  <si>
    <t>Novartis &amp; Roche</t>
  </si>
  <si>
    <t>Amsterdam</t>
  </si>
  <si>
    <t>Netherlands</t>
  </si>
  <si>
    <t>Boudry</t>
  </si>
  <si>
    <t>Mouna Akacha &amp; Kaspar Rufibach</t>
  </si>
  <si>
    <t>Introduction to the new EFSPI statistical methodology leaders group</t>
  </si>
  <si>
    <t>EMA multistakeholder workshop on Bayesian statistics</t>
  </si>
  <si>
    <t>https://www.ema.europa.eu/en/documents/agenda/agenda-workshop-use-bayesian-statistics-clinical-development_en.pdf</t>
  </si>
  <si>
    <t xml:space="preserve">EMA multistakeholder workshop on general topics </t>
  </si>
  <si>
    <t>events/20240607/20240607_summary.qmd</t>
  </si>
  <si>
    <t xml:space="preserve">Regular meeting of EFSPI / PSI regulatory eSIG with MHRA statisticians </t>
  </si>
  <si>
    <t>virtual</t>
  </si>
  <si>
    <t>events/20241113/20241113_summary.qmd</t>
  </si>
  <si>
    <t>BBS webinar "From Statistical Innovations to Common Practice, How to innovate with impact?"</t>
  </si>
  <si>
    <t>https://baselbiometrics.github.io/home/docs/events_past.html#bbs-webinar-on-from-statistical-innovations-to-common-practice-how-to-innovate-with-impact</t>
  </si>
  <si>
    <t>Nicky Best</t>
  </si>
  <si>
    <t>GSK</t>
  </si>
  <si>
    <t>Benefits and challenges of using Bayesian methods to support regulatory decision-making</t>
  </si>
  <si>
    <t>Bayesian methods without borrowing in ultrarare diseases</t>
  </si>
  <si>
    <t>Cytel</t>
  </si>
  <si>
    <t>Natalia Mühlemann &amp; Jan Priel</t>
  </si>
  <si>
    <t>Tobias Mielke</t>
  </si>
  <si>
    <t>J&amp;J</t>
  </si>
  <si>
    <t>Application of ICH-M15 for Bayesian Modelling - Using a systematic model assessment framework to support design submission and discussion</t>
  </si>
  <si>
    <t>Henrik Ravn</t>
  </si>
  <si>
    <t>Novo Nordisk</t>
  </si>
  <si>
    <t>Covariate adjustment in randomised clinical trials</t>
  </si>
  <si>
    <t>Multiplicity adjustments in multi-armed trials with inferentially independent hypotheses</t>
  </si>
  <si>
    <t>Meta-analyses and the estimand framework</t>
  </si>
  <si>
    <t>Christian Piepper &amp; David Wright</t>
  </si>
  <si>
    <t>Novo Nordisk &amp; AstraZeneca</t>
  </si>
  <si>
    <t>Marc Vandemeulebroecke</t>
  </si>
  <si>
    <t>UCB</t>
  </si>
  <si>
    <t>Augmented controls in the confirmatory setting</t>
  </si>
  <si>
    <t>David Wright</t>
  </si>
  <si>
    <t>AstraZeneca</t>
  </si>
  <si>
    <t>Extrapolation across related diseases</t>
  </si>
  <si>
    <t>Planning of agenda, input into discussion.</t>
  </si>
  <si>
    <t>Denmark</t>
  </si>
  <si>
    <t>Copenhagen</t>
  </si>
  <si>
    <t>Novartis &amp; Merck KGaA</t>
  </si>
  <si>
    <t>Innovative clinical trial methodologies and their adoption - Priorities and Opportunities</t>
  </si>
  <si>
    <t>Organization of a session.</t>
  </si>
  <si>
    <t>EFSPI regulatory statistics workshop</t>
  </si>
  <si>
    <t>https://efspieurope.github.io/workshop/</t>
  </si>
  <si>
    <t>Basel</t>
  </si>
  <si>
    <t>hybrid</t>
  </si>
  <si>
    <t>Mouna Akacha &amp; Kaspar Rufibach &amp; Cornelia Ursula Kunz</t>
  </si>
  <si>
    <t>Novartis &amp; Merck KGaA &amp; Boehringer Ingelheim</t>
  </si>
  <si>
    <t>Strategic priorities in pharmaceutical statistics – A quantitative drug developer’s perspective</t>
  </si>
  <si>
    <t>https://efspieurope.github.io/workshop/data/2025/slides/01_Overture_2_Akacha.pdf</t>
  </si>
  <si>
    <t>ICH-M15 to support credibility assessment for Bayesian modelling</t>
  </si>
  <si>
    <t>https://efspieurope.github.io/workshop/data/2025/slides/10_Assumptions_3_Mielke.pdf</t>
  </si>
  <si>
    <t>Communicating the value of Bayesian approaches in clinical trials: is it just a prior issue?</t>
  </si>
  <si>
    <t>https://efspieurope.github.io/workshop/data/2025/slides/09_Bayes_2_Best.pdf</t>
  </si>
  <si>
    <t>EMA workshop on external controls</t>
  </si>
  <si>
    <t>https://www.ema.europa.eu/en/events/workshop-use-external-controls-evidence-generation-regulatory-decision-making</t>
  </si>
  <si>
    <t>Strategies to overcome challenges of eligibility criteria for historical data as External Control Arm source</t>
  </si>
  <si>
    <t>Cytel &amp; Bayer</t>
  </si>
  <si>
    <t>Natalia Muehlemann &amp; Alfredo Farjat</t>
  </si>
  <si>
    <t>https://www.ema.europa.eu/en/documents/presentation/presentation-strategies-overcome-challenges-eligibility-criteria-historical-data-external-control-arm-source-n-muehlemann-farjat_en.pdf</t>
  </si>
  <si>
    <t>https://www.ema.europa.eu/en/documents/report/report-workshop-use-external-controls-evidence-generation-regulatory-decision-making_en.pdf</t>
  </si>
  <si>
    <t>Member of Scientific Committee (Mouna &amp; Marc), invited talk (Natalia).</t>
  </si>
  <si>
    <t>Invited talks.</t>
  </si>
  <si>
    <t>events/20260415/20260415_summary.qmd</t>
  </si>
  <si>
    <t>EFSPI Statistical Methodology Leaders F2F</t>
  </si>
  <si>
    <t>EFSPI StatsLeaders F2F</t>
  </si>
  <si>
    <t>Munich</t>
  </si>
  <si>
    <t>Germany</t>
  </si>
  <si>
    <t>Mouna and Tobias lead a session on _Engagement with Regulatory Agencies and Methodological Innovation_.</t>
  </si>
  <si>
    <t>events/20260519/20260519_EML_EMA_stats.pdf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</si>
</sst>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fspieurope.github.io/workshop/data/2025/slides/09_Bayes_2_Best.pdf" TargetMode="External"/><Relationship Id="rId2" Type="http://schemas.openxmlformats.org/officeDocument/2006/relationships/hyperlink" Target="https://efspieurope.github.io/workshop/data/2025/slides/10_Assumptions_3_Mielke.pdf" TargetMode="External"/><Relationship Id="rId1" Type="http://schemas.openxmlformats.org/officeDocument/2006/relationships/hyperlink" Target="https://efspieurope.github.io/workshop/data/2025/slides/01_Overture_2_Akacha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pane ySplit="1" topLeftCell="A15" activePane="bottomLeft" state="frozen"/>
      <selection pane="bottomLeft" activeCell="J21" sqref="J21"/>
    </sheetView>
  </sheetViews>
  <sheetFormatPr defaultColWidth="9.1796875" defaultRowHeight="14.5" x14ac:dyDescent="0.35"/>
  <cols>
    <col min="1" max="1" width="11.6328125" style="1" customWidth="1"/>
    <col min="2" max="2" width="43.36328125" style="2" bestFit="1" customWidth="1"/>
    <col min="3" max="3" width="106.36328125" style="1" bestFit="1" customWidth="1"/>
    <col min="4" max="4" width="10.54296875" style="1" bestFit="1" customWidth="1"/>
    <col min="5" max="5" width="11" style="1" bestFit="1" customWidth="1"/>
    <col min="6" max="6" width="6.81640625" style="1" bestFit="1" customWidth="1"/>
    <col min="7" max="7" width="10" style="1" bestFit="1" customWidth="1"/>
    <col min="8" max="8" width="8.7265625" style="1" bestFit="1" customWidth="1"/>
    <col min="9" max="9" width="9.7265625" style="1" bestFit="1" customWidth="1"/>
    <col min="10" max="10" width="37.7265625" style="1" bestFit="1" customWidth="1"/>
    <col min="11" max="11" width="5.6328125" style="1" bestFit="1" customWidth="1"/>
    <col min="12" max="12" width="29.36328125" style="1" bestFit="1" customWidth="1"/>
    <col min="13" max="13" width="15.1796875" style="1" bestFit="1" customWidth="1"/>
    <col min="14" max="14" width="58" style="2" bestFit="1" customWidth="1"/>
    <col min="15" max="15" width="5.453125" style="1" bestFit="1" customWidth="1"/>
    <col min="16" max="16" width="3.7265625" style="1" bestFit="1" customWidth="1"/>
    <col min="17" max="16384" width="9.1796875" style="1"/>
  </cols>
  <sheetData>
    <row r="1" spans="1:16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x14ac:dyDescent="0.35">
      <c r="A2" s="3" t="str">
        <f>"06.05.2024"</f>
        <v>06.05.2024</v>
      </c>
      <c r="B2" s="2" t="s">
        <v>85</v>
      </c>
      <c r="D2" s="1" t="s">
        <v>22</v>
      </c>
      <c r="E2" s="1" t="s">
        <v>17</v>
      </c>
      <c r="F2" s="1" t="s">
        <v>18</v>
      </c>
      <c r="G2" s="1" t="s">
        <v>16</v>
      </c>
      <c r="K2" s="1">
        <v>1</v>
      </c>
      <c r="L2" s="1" t="s">
        <v>23</v>
      </c>
      <c r="M2" s="1" t="s">
        <v>19</v>
      </c>
      <c r="N2" s="2" t="s">
        <v>24</v>
      </c>
    </row>
    <row r="3" spans="1:16" ht="29" x14ac:dyDescent="0.35">
      <c r="A3" s="1" t="str">
        <f>"17.06.2024"</f>
        <v>17.06.2024</v>
      </c>
      <c r="B3" s="2" t="s">
        <v>25</v>
      </c>
      <c r="C3" s="1" t="s">
        <v>26</v>
      </c>
      <c r="D3" s="1" t="s">
        <v>20</v>
      </c>
      <c r="E3" s="1" t="s">
        <v>21</v>
      </c>
      <c r="F3" s="1" t="s">
        <v>18</v>
      </c>
      <c r="G3" s="1" t="s">
        <v>16</v>
      </c>
      <c r="K3" s="1">
        <v>1</v>
      </c>
      <c r="L3" s="1" t="s">
        <v>34</v>
      </c>
      <c r="M3" s="1" t="s">
        <v>35</v>
      </c>
      <c r="N3" t="s">
        <v>36</v>
      </c>
    </row>
    <row r="4" spans="1:16" ht="29" x14ac:dyDescent="0.35">
      <c r="A4" s="1" t="str">
        <f t="shared" ref="A4:A5" si="0">"17.06.2024"</f>
        <v>17.06.2024</v>
      </c>
      <c r="B4" s="2" t="s">
        <v>25</v>
      </c>
      <c r="G4" s="1" t="s">
        <v>16</v>
      </c>
      <c r="K4" s="1">
        <v>2</v>
      </c>
      <c r="L4" s="1" t="s">
        <v>39</v>
      </c>
      <c r="M4" s="1" t="s">
        <v>38</v>
      </c>
      <c r="N4" t="s">
        <v>37</v>
      </c>
    </row>
    <row r="5" spans="1:16" ht="29" x14ac:dyDescent="0.35">
      <c r="A5" s="1" t="str">
        <f t="shared" si="0"/>
        <v>17.06.2024</v>
      </c>
      <c r="B5" s="2" t="s">
        <v>25</v>
      </c>
      <c r="G5" s="1" t="s">
        <v>16</v>
      </c>
      <c r="K5" s="1">
        <v>3</v>
      </c>
      <c r="L5" s="1" t="s">
        <v>40</v>
      </c>
      <c r="M5" s="1" t="s">
        <v>41</v>
      </c>
      <c r="N5" t="s">
        <v>42</v>
      </c>
    </row>
    <row r="6" spans="1:16" x14ac:dyDescent="0.35">
      <c r="A6" s="1" t="str">
        <f>"06.07.2024"</f>
        <v>06.07.2024</v>
      </c>
      <c r="B6" s="2" t="s">
        <v>27</v>
      </c>
      <c r="G6" s="1" t="s">
        <v>16</v>
      </c>
      <c r="J6" s="1" t="s">
        <v>28</v>
      </c>
      <c r="K6" s="1">
        <v>1</v>
      </c>
      <c r="L6" s="1" t="s">
        <v>43</v>
      </c>
      <c r="M6" s="1" t="s">
        <v>44</v>
      </c>
      <c r="N6" t="s">
        <v>45</v>
      </c>
    </row>
    <row r="7" spans="1:16" x14ac:dyDescent="0.35">
      <c r="A7" s="1" t="str">
        <f t="shared" ref="A7:A10" si="1">"06.07.2024"</f>
        <v>06.07.2024</v>
      </c>
      <c r="B7" s="2" t="s">
        <v>27</v>
      </c>
      <c r="G7" s="1" t="s">
        <v>16</v>
      </c>
      <c r="K7" s="1">
        <v>2</v>
      </c>
      <c r="L7" s="1" t="s">
        <v>40</v>
      </c>
      <c r="M7" s="1" t="s">
        <v>41</v>
      </c>
      <c r="N7" t="s">
        <v>46</v>
      </c>
    </row>
    <row r="8" spans="1:16" x14ac:dyDescent="0.35">
      <c r="A8" s="1" t="str">
        <f t="shared" si="1"/>
        <v>06.07.2024</v>
      </c>
      <c r="B8" s="2" t="s">
        <v>27</v>
      </c>
      <c r="G8" s="1" t="s">
        <v>16</v>
      </c>
      <c r="K8" s="1">
        <v>3</v>
      </c>
      <c r="L8" s="1" t="s">
        <v>48</v>
      </c>
      <c r="M8" s="1" t="s">
        <v>49</v>
      </c>
      <c r="N8" t="s">
        <v>47</v>
      </c>
    </row>
    <row r="9" spans="1:16" x14ac:dyDescent="0.35">
      <c r="A9" s="1" t="str">
        <f t="shared" si="1"/>
        <v>06.07.2024</v>
      </c>
      <c r="B9" s="2" t="s">
        <v>27</v>
      </c>
      <c r="G9" s="1" t="s">
        <v>16</v>
      </c>
      <c r="K9" s="1">
        <v>4</v>
      </c>
      <c r="L9" s="1" t="s">
        <v>50</v>
      </c>
      <c r="M9" s="1" t="s">
        <v>51</v>
      </c>
      <c r="N9" t="s">
        <v>52</v>
      </c>
    </row>
    <row r="10" spans="1:16" x14ac:dyDescent="0.35">
      <c r="A10" s="1" t="str">
        <f t="shared" si="1"/>
        <v>06.07.2024</v>
      </c>
      <c r="B10" s="2" t="s">
        <v>27</v>
      </c>
      <c r="G10" s="1" t="s">
        <v>16</v>
      </c>
      <c r="K10" s="1">
        <v>5</v>
      </c>
      <c r="L10" s="1" t="s">
        <v>53</v>
      </c>
      <c r="M10" s="1" t="s">
        <v>54</v>
      </c>
      <c r="N10" t="s">
        <v>55</v>
      </c>
    </row>
    <row r="11" spans="1:16" ht="29" x14ac:dyDescent="0.35">
      <c r="A11" s="1" t="str">
        <f>"13.11.2024"</f>
        <v>13.11.2024</v>
      </c>
      <c r="B11" s="2" t="s">
        <v>29</v>
      </c>
      <c r="F11" s="1" t="s">
        <v>30</v>
      </c>
      <c r="G11" s="1" t="s">
        <v>56</v>
      </c>
      <c r="J11" s="1" t="s">
        <v>31</v>
      </c>
    </row>
    <row r="12" spans="1:16" ht="29" x14ac:dyDescent="0.35">
      <c r="A12" s="1" t="str">
        <f>"13.09.2025"</f>
        <v>13.09.2025</v>
      </c>
      <c r="B12" s="2" t="s">
        <v>32</v>
      </c>
      <c r="C12" s="1" t="s">
        <v>33</v>
      </c>
    </row>
    <row r="13" spans="1:16" ht="29" x14ac:dyDescent="0.35">
      <c r="A13" s="1" t="str">
        <f>"13.05.2025"</f>
        <v>13.05.2025</v>
      </c>
      <c r="B13" s="2" t="s">
        <v>85</v>
      </c>
      <c r="D13" s="1" t="s">
        <v>58</v>
      </c>
      <c r="E13" s="1" t="s">
        <v>57</v>
      </c>
      <c r="F13" s="1" t="s">
        <v>18</v>
      </c>
      <c r="G13" s="1" t="s">
        <v>61</v>
      </c>
      <c r="K13" s="1">
        <v>1</v>
      </c>
      <c r="L13" s="1" t="s">
        <v>23</v>
      </c>
      <c r="M13" s="1" t="s">
        <v>59</v>
      </c>
      <c r="N13" s="2" t="s">
        <v>60</v>
      </c>
    </row>
    <row r="14" spans="1:16" ht="29" x14ac:dyDescent="0.35">
      <c r="A14" s="1" t="str">
        <f>"10.09.2025"</f>
        <v>10.09.2025</v>
      </c>
      <c r="B14" s="2" t="s">
        <v>62</v>
      </c>
      <c r="C14" s="1" t="s">
        <v>63</v>
      </c>
      <c r="D14" s="1" t="s">
        <v>64</v>
      </c>
      <c r="E14" s="1" t="s">
        <v>17</v>
      </c>
      <c r="F14" s="1" t="s">
        <v>65</v>
      </c>
      <c r="G14" s="1" t="s">
        <v>82</v>
      </c>
      <c r="K14" s="1">
        <v>1</v>
      </c>
      <c r="L14" s="1" t="s">
        <v>66</v>
      </c>
      <c r="M14" s="1" t="s">
        <v>67</v>
      </c>
      <c r="N14" s="2" t="s">
        <v>68</v>
      </c>
      <c r="P14" s="4" t="s">
        <v>69</v>
      </c>
    </row>
    <row r="15" spans="1:16" ht="29" x14ac:dyDescent="0.35">
      <c r="A15" s="1" t="str">
        <f>"10.09.2025"</f>
        <v>10.09.2025</v>
      </c>
      <c r="B15" s="2" t="s">
        <v>62</v>
      </c>
      <c r="K15" s="1">
        <v>2</v>
      </c>
      <c r="L15" s="1" t="s">
        <v>34</v>
      </c>
      <c r="M15" s="1" t="s">
        <v>35</v>
      </c>
      <c r="N15" s="2" t="s">
        <v>72</v>
      </c>
      <c r="P15" s="4" t="s">
        <v>73</v>
      </c>
    </row>
    <row r="16" spans="1:16" x14ac:dyDescent="0.35">
      <c r="A16" s="1" t="str">
        <f>"10.09.2025"</f>
        <v>10.09.2025</v>
      </c>
      <c r="B16" s="2" t="s">
        <v>62</v>
      </c>
      <c r="K16" s="1">
        <v>3</v>
      </c>
      <c r="L16" s="1" t="s">
        <v>40</v>
      </c>
      <c r="M16" s="1" t="s">
        <v>41</v>
      </c>
      <c r="N16" s="2" t="s">
        <v>70</v>
      </c>
      <c r="P16" s="4" t="s">
        <v>71</v>
      </c>
    </row>
    <row r="17" spans="1:16" ht="29" x14ac:dyDescent="0.35">
      <c r="A17" s="1" t="str">
        <f>"03.11.2025"</f>
        <v>03.11.2025</v>
      </c>
      <c r="B17" s="2" t="s">
        <v>74</v>
      </c>
      <c r="C17" s="1" t="s">
        <v>75</v>
      </c>
      <c r="D17" s="1" t="s">
        <v>20</v>
      </c>
      <c r="E17" s="1" t="s">
        <v>21</v>
      </c>
      <c r="F17" s="1" t="s">
        <v>65</v>
      </c>
      <c r="G17" s="1" t="s">
        <v>81</v>
      </c>
      <c r="J17" s="1" t="s">
        <v>80</v>
      </c>
      <c r="K17" s="1">
        <v>1</v>
      </c>
      <c r="L17" s="1" t="s">
        <v>78</v>
      </c>
      <c r="M17" s="1" t="s">
        <v>77</v>
      </c>
      <c r="N17" s="2" t="s">
        <v>76</v>
      </c>
      <c r="P17" s="1" t="s">
        <v>79</v>
      </c>
    </row>
    <row r="18" spans="1:16" x14ac:dyDescent="0.35">
      <c r="A18" s="1" t="str">
        <f>"15.04.2026"</f>
        <v>15.04.2026</v>
      </c>
      <c r="B18" s="2" t="s">
        <v>84</v>
      </c>
      <c r="D18" s="1" t="s">
        <v>58</v>
      </c>
      <c r="E18" s="1" t="s">
        <v>57</v>
      </c>
      <c r="F18" s="1" t="s">
        <v>18</v>
      </c>
      <c r="J18" s="1" t="s">
        <v>83</v>
      </c>
    </row>
    <row r="19" spans="1:16" x14ac:dyDescent="0.35">
      <c r="A19" s="1" t="str">
        <f>"12.05.2026"</f>
        <v>12.05.2026</v>
      </c>
      <c r="B19" s="2" t="s">
        <v>85</v>
      </c>
      <c r="D19" s="1" t="s">
        <v>86</v>
      </c>
      <c r="E19" s="1" t="s">
        <v>87</v>
      </c>
      <c r="F19" s="1" t="s">
        <v>18</v>
      </c>
      <c r="G19" s="1" t="s">
        <v>88</v>
      </c>
    </row>
    <row r="20" spans="1:16" ht="29" x14ac:dyDescent="0.35">
      <c r="A20" s="1" t="str">
        <f>"19.05.2026"</f>
        <v>19.05.2026</v>
      </c>
      <c r="B20" s="2" t="s">
        <v>29</v>
      </c>
      <c r="F20" s="1" t="s">
        <v>30</v>
      </c>
      <c r="G20" s="1" t="s">
        <v>56</v>
      </c>
      <c r="J20" s="1" t="s">
        <v>89</v>
      </c>
    </row>
  </sheetData>
  <hyperlinks>
    <hyperlink ref="P14" r:id="rId1" xr:uid="{088DE52E-AB5C-4208-A565-099519D0628B}"/>
    <hyperlink ref="P16" r:id="rId2" xr:uid="{C4D86045-C4C7-4216-AE42-0AA0A0EB2DA8}"/>
    <hyperlink ref="P15" r:id="rId3" xr:uid="{EF062870-EBB7-48A9-A020-78E747BDB8F6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2026-07-03T16:09:21Z</dcterms:modified>
</cp:coreProperties>
</file>